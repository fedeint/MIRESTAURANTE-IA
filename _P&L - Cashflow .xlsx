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s" sheetId="1" r:id="rId4"/>
    <sheet state="visible" name="PyG" sheetId="2" r:id="rId5"/>
  </sheets>
  <definedNames/>
  <calcPr/>
</workbook>
</file>

<file path=xl/sharedStrings.xml><?xml version="1.0" encoding="utf-8"?>
<sst xmlns="http://schemas.openxmlformats.org/spreadsheetml/2006/main" count="71" uniqueCount="71">
  <si>
    <t>Cashflows</t>
  </si>
  <si>
    <t>Entradas de caja</t>
  </si>
  <si>
    <t>Capital inicial</t>
  </si>
  <si>
    <t>Dinero en mano principio mes</t>
  </si>
  <si>
    <t>Ventas</t>
  </si>
  <si>
    <t>Ingresos financieros</t>
  </si>
  <si>
    <t>Otros Ingresos</t>
  </si>
  <si>
    <t>TOTAL ENTRADAS</t>
  </si>
  <si>
    <t>Salidas de caja</t>
  </si>
  <si>
    <t>TOTAL COMPRAS EXISTENCIAS</t>
  </si>
  <si>
    <t>Producto terminado A</t>
  </si>
  <si>
    <t>Producto terminado b</t>
  </si>
  <si>
    <t>Producto semiterminado B</t>
  </si>
  <si>
    <t>Packaging</t>
  </si>
  <si>
    <t>TOTAL SERVICIOS ONLINE</t>
  </si>
  <si>
    <t>Ecommerce</t>
  </si>
  <si>
    <t>Correos</t>
  </si>
  <si>
    <t>Cloud Services</t>
  </si>
  <si>
    <t>TOTAL MARKETING</t>
  </si>
  <si>
    <t>Facebook Ads</t>
  </si>
  <si>
    <t>Instagram Ads</t>
  </si>
  <si>
    <t>Google Ads</t>
  </si>
  <si>
    <t>Youtube Ads</t>
  </si>
  <si>
    <t>Email Marketing</t>
  </si>
  <si>
    <t>TOTAL SUELDOS Y SALARIOS</t>
  </si>
  <si>
    <t>Salario X</t>
  </si>
  <si>
    <t>Salario Y</t>
  </si>
  <si>
    <t>Salario Z</t>
  </si>
  <si>
    <t>TOTAL INMOVILIZADO</t>
  </si>
  <si>
    <t>Alquiler oficina</t>
  </si>
  <si>
    <t>Seguro</t>
  </si>
  <si>
    <t>Alarma</t>
  </si>
  <si>
    <t>Fianzas</t>
  </si>
  <si>
    <t>Suministros</t>
  </si>
  <si>
    <t xml:space="preserve">Otros </t>
  </si>
  <si>
    <t>TOTAL LEGAL Y FINANCIERO</t>
  </si>
  <si>
    <t>Gestoría</t>
  </si>
  <si>
    <t>Abogados</t>
  </si>
  <si>
    <t>Comisiones bancarias</t>
  </si>
  <si>
    <t>Otros gastos financieros</t>
  </si>
  <si>
    <t>OTROS GASTOS</t>
  </si>
  <si>
    <t>Transportes</t>
  </si>
  <si>
    <t>Viajes</t>
  </si>
  <si>
    <t>Otros</t>
  </si>
  <si>
    <t>TOTAL SALIDAS</t>
  </si>
  <si>
    <t>Flujo de caja mes</t>
  </si>
  <si>
    <t xml:space="preserve">Final mes balance </t>
  </si>
  <si>
    <t>Pérdidas y Ganancias (P&amp;L)</t>
  </si>
  <si>
    <t>(+) Ventas</t>
  </si>
  <si>
    <t>(-) Coste de las ventas (COGS)</t>
  </si>
  <si>
    <t>(=) Margen Burto</t>
  </si>
  <si>
    <t>(-) Gastos Administrativos</t>
  </si>
  <si>
    <t>(-) Sueldos y salarios</t>
  </si>
  <si>
    <t>(=) Beneficio antes de intereses, impuestos, depreciaciones y amortizaciones (EBITDA)</t>
  </si>
  <si>
    <t>(-) Amortizaciones</t>
  </si>
  <si>
    <t>(-) Provisiones</t>
  </si>
  <si>
    <t>(=) Beneficio antes de intereses e impuestos (EBIT)</t>
  </si>
  <si>
    <t>(+) Ingresos extraordinarios</t>
  </si>
  <si>
    <t>(-) Gastos extraordinarios</t>
  </si>
  <si>
    <t>(=) Resultado ordinario</t>
  </si>
  <si>
    <t>(+)Ingresos Financieros</t>
  </si>
  <si>
    <t>(-) Gastos Financieros</t>
  </si>
  <si>
    <t>(=) Beneficio antes de Impuestos (EBT)</t>
  </si>
  <si>
    <t>(-) Impuesto de Sociedades</t>
  </si>
  <si>
    <t>(=) Beneficio neto o Resultado del Ejercicio</t>
  </si>
  <si>
    <t>Ratios</t>
  </si>
  <si>
    <t>Crecimiento de las ventas</t>
  </si>
  <si>
    <t>Margen / Ventas</t>
  </si>
  <si>
    <t>Return on Sales (ROS): Beneficio neto / Ventas</t>
  </si>
  <si>
    <t>Return on Equity (ROE): Beneficio neto / Fondos Propios</t>
  </si>
  <si>
    <t>Return on Assets (ROA): EBIT / Activos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</si>
</sst>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&quot;€&quot;"/>
    <numFmt numFmtId="165" formatCode="#,##0\ [$€-C0A]"/>
    <numFmt numFmtId="166" formatCode="#,##0\ &quot;€&quot;;[Red]\-#,##0\ &quot;€&quot;"/>
  </numFmts>
  <fonts count="5">
    <font>
      <sz val="11.0"/>
      <color rgb="FF000000"/>
      <name val="Calibri"/>
    </font>
    <font>
      <sz val="20.0"/>
      <color rgb="FF000000"/>
      <name val="Arial"/>
    </font>
    <font>
      <b/>
      <sz val="11.0"/>
      <color rgb="FF000000"/>
      <name val="Calibri"/>
    </font>
    <font>
      <b/>
      <sz val="20.0"/>
      <color rgb="FF000000"/>
      <name val="The bold font"/>
    </font>
    <font>
      <sz val="14.0"/>
      <color rgb="FF000000"/>
      <name val="The bold font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readingOrder="0" vertical="center"/>
    </xf>
    <xf borderId="0" fillId="0" fontId="0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17" xfId="0" applyAlignment="1" applyBorder="1" applyFont="1" applyNumberFormat="1">
      <alignment horizontal="center"/>
    </xf>
    <xf borderId="1" fillId="0" fontId="0" numFmtId="0" xfId="0" applyAlignment="1" applyBorder="1" applyFont="1">
      <alignment horizontal="left"/>
    </xf>
    <xf borderId="1" fillId="0" fontId="0" numFmtId="164" xfId="0" applyAlignment="1" applyBorder="1" applyFont="1" applyNumberFormat="1">
      <alignment horizontal="center"/>
    </xf>
    <xf borderId="2" fillId="2" fontId="2" numFmtId="0" xfId="0" applyAlignment="1" applyBorder="1" applyFill="1" applyFont="1">
      <alignment horizontal="left"/>
    </xf>
    <xf borderId="3" fillId="2" fontId="2" numFmtId="164" xfId="0" applyAlignment="1" applyBorder="1" applyFont="1" applyNumberFormat="1">
      <alignment horizontal="center"/>
    </xf>
    <xf borderId="4" fillId="2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5" fillId="0" fontId="2" numFmtId="0" xfId="0" applyAlignment="1" applyBorder="1" applyFont="1">
      <alignment horizontal="left"/>
    </xf>
    <xf borderId="5" fillId="0" fontId="2" numFmtId="17" xfId="0" applyAlignment="1" applyBorder="1" applyFont="1" applyNumberFormat="1">
      <alignment horizontal="center"/>
    </xf>
    <xf borderId="6" fillId="0" fontId="0" numFmtId="0" xfId="0" applyAlignment="1" applyBorder="1" applyFont="1">
      <alignment horizontal="left"/>
    </xf>
    <xf borderId="6" fillId="0" fontId="0" numFmtId="165" xfId="0" applyAlignment="1" applyBorder="1" applyFont="1" applyNumberFormat="1">
      <alignment horizontal="center"/>
    </xf>
    <xf borderId="1" fillId="0" fontId="0" numFmtId="165" xfId="0" applyAlignment="1" applyBorder="1" applyFont="1" applyNumberFormat="1">
      <alignment horizontal="center"/>
    </xf>
    <xf borderId="5" fillId="0" fontId="0" numFmtId="0" xfId="0" applyAlignment="1" applyBorder="1" applyFont="1">
      <alignment horizontal="left"/>
    </xf>
    <xf borderId="5" fillId="0" fontId="0" numFmtId="165" xfId="0" applyAlignment="1" applyBorder="1" applyFont="1" applyNumberFormat="1">
      <alignment horizontal="center"/>
    </xf>
    <xf borderId="6" fillId="0" fontId="0" numFmtId="164" xfId="0" applyAlignment="1" applyBorder="1" applyFont="1" applyNumberFormat="1">
      <alignment horizontal="center"/>
    </xf>
    <xf borderId="5" fillId="0" fontId="0" numFmtId="164" xfId="0" applyAlignment="1" applyBorder="1" applyFont="1" applyNumberFormat="1">
      <alignment horizontal="center"/>
    </xf>
    <xf borderId="7" fillId="0" fontId="0" numFmtId="0" xfId="0" applyAlignment="1" applyBorder="1" applyFont="1">
      <alignment horizontal="left"/>
    </xf>
    <xf borderId="7" fillId="0" fontId="0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left"/>
    </xf>
    <xf borderId="1" fillId="2" fontId="2" numFmtId="166" xfId="0" applyAlignment="1" applyBorder="1" applyFont="1" applyNumberFormat="1">
      <alignment horizontal="center"/>
    </xf>
    <xf borderId="0" fillId="0" fontId="3" numFmtId="0" xfId="0" applyAlignment="1" applyFont="1">
      <alignment horizontal="left" vertical="center"/>
    </xf>
    <xf borderId="1" fillId="0" fontId="2" numFmtId="0" xfId="0" applyAlignment="1" applyBorder="1" applyFont="1">
      <alignment horizontal="center"/>
    </xf>
    <xf borderId="1" fillId="0" fontId="0" numFmtId="0" xfId="0" applyBorder="1" applyFont="1"/>
    <xf borderId="5" fillId="0" fontId="0" numFmtId="0" xfId="0" applyBorder="1" applyFont="1"/>
    <xf borderId="2" fillId="2" fontId="2" numFmtId="0" xfId="0" applyBorder="1" applyFont="1"/>
    <xf borderId="6" fillId="0" fontId="0" numFmtId="0" xfId="0" applyBorder="1" applyFont="1"/>
    <xf borderId="7" fillId="0" fontId="0" numFmtId="0" xfId="0" applyBorder="1" applyFont="1"/>
    <xf borderId="0" fillId="0" fontId="4" numFmtId="0" xfId="0" applyFont="1"/>
    <xf borderId="1" fillId="0" fontId="0" numFmtId="0" xfId="0" applyAlignment="1" applyBorder="1" applyFont="1">
      <alignment horizontal="center"/>
    </xf>
    <xf borderId="1" fillId="3" fontId="0" numFmtId="10" xfId="0" applyBorder="1" applyFill="1" applyFont="1" applyNumberFormat="1"/>
    <xf borderId="1" fillId="0" fontId="0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2.0"/>
    <col customWidth="1" min="3" max="14" width="11.43"/>
    <col customWidth="1" min="15" max="26" width="10.71"/>
  </cols>
  <sheetData>
    <row r="1" ht="6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5">
        <v>43101.0</v>
      </c>
      <c r="D4" s="5">
        <v>43132.0</v>
      </c>
      <c r="E4" s="5">
        <v>43160.0</v>
      </c>
      <c r="F4" s="5">
        <v>43191.0</v>
      </c>
      <c r="G4" s="5">
        <v>43221.0</v>
      </c>
      <c r="H4" s="5">
        <v>43252.0</v>
      </c>
      <c r="I4" s="5">
        <v>43282.0</v>
      </c>
      <c r="J4" s="5">
        <v>43313.0</v>
      </c>
      <c r="K4" s="5">
        <v>43344.0</v>
      </c>
      <c r="L4" s="5">
        <v>43374.0</v>
      </c>
      <c r="M4" s="5">
        <v>43405.0</v>
      </c>
      <c r="N4" s="5">
        <v>43435.0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2</v>
      </c>
      <c r="C5" s="7">
        <v>3000.0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7"/>
      <c r="D6" s="7">
        <f t="shared" ref="D6:N6" si="1">C53</f>
        <v>3000</v>
      </c>
      <c r="E6" s="7">
        <f t="shared" si="1"/>
        <v>3000</v>
      </c>
      <c r="F6" s="7">
        <f t="shared" si="1"/>
        <v>3000</v>
      </c>
      <c r="G6" s="7">
        <f t="shared" si="1"/>
        <v>3000</v>
      </c>
      <c r="H6" s="7">
        <f t="shared" si="1"/>
        <v>3000</v>
      </c>
      <c r="I6" s="7">
        <f t="shared" si="1"/>
        <v>3000</v>
      </c>
      <c r="J6" s="7">
        <f t="shared" si="1"/>
        <v>3000</v>
      </c>
      <c r="K6" s="7">
        <f t="shared" si="1"/>
        <v>3000</v>
      </c>
      <c r="L6" s="7">
        <f t="shared" si="1"/>
        <v>3000</v>
      </c>
      <c r="M6" s="7">
        <f t="shared" si="1"/>
        <v>3000</v>
      </c>
      <c r="N6" s="7">
        <f t="shared" si="1"/>
        <v>3000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7</v>
      </c>
      <c r="C10" s="9">
        <f t="shared" ref="C10:N10" si="2">SUM(C7:C9)</f>
        <v>0</v>
      </c>
      <c r="D10" s="9">
        <f t="shared" si="2"/>
        <v>0</v>
      </c>
      <c r="E10" s="9">
        <f t="shared" si="2"/>
        <v>0</v>
      </c>
      <c r="F10" s="9">
        <f t="shared" si="2"/>
        <v>0</v>
      </c>
      <c r="G10" s="9">
        <f t="shared" si="2"/>
        <v>0</v>
      </c>
      <c r="H10" s="9">
        <f t="shared" si="2"/>
        <v>0</v>
      </c>
      <c r="I10" s="9">
        <f t="shared" si="2"/>
        <v>0</v>
      </c>
      <c r="J10" s="9">
        <f t="shared" si="2"/>
        <v>0</v>
      </c>
      <c r="K10" s="9">
        <f t="shared" si="2"/>
        <v>0</v>
      </c>
      <c r="L10" s="9">
        <f t="shared" si="2"/>
        <v>0</v>
      </c>
      <c r="M10" s="9">
        <f t="shared" si="2"/>
        <v>0</v>
      </c>
      <c r="N10" s="10">
        <f t="shared" si="2"/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8</v>
      </c>
      <c r="C14" s="14">
        <v>43101.0</v>
      </c>
      <c r="D14" s="14">
        <v>43132.0</v>
      </c>
      <c r="E14" s="14">
        <v>43160.0</v>
      </c>
      <c r="F14" s="14">
        <v>43191.0</v>
      </c>
      <c r="G14" s="14">
        <v>43221.0</v>
      </c>
      <c r="H14" s="14">
        <v>43252.0</v>
      </c>
      <c r="I14" s="14">
        <v>43282.0</v>
      </c>
      <c r="J14" s="14">
        <v>43313.0</v>
      </c>
      <c r="K14" s="14">
        <v>43344.0</v>
      </c>
      <c r="L14" s="14">
        <v>43374.0</v>
      </c>
      <c r="M14" s="14">
        <v>43405.0</v>
      </c>
      <c r="N14" s="14">
        <v>43435.0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9</v>
      </c>
      <c r="C15" s="9">
        <f t="shared" ref="C15:N15" si="3">SUM(C16:C19)</f>
        <v>0</v>
      </c>
      <c r="D15" s="9">
        <f t="shared" si="3"/>
        <v>0</v>
      </c>
      <c r="E15" s="9">
        <f t="shared" si="3"/>
        <v>0</v>
      </c>
      <c r="F15" s="9">
        <f t="shared" si="3"/>
        <v>0</v>
      </c>
      <c r="G15" s="9">
        <f t="shared" si="3"/>
        <v>0</v>
      </c>
      <c r="H15" s="9">
        <f t="shared" si="3"/>
        <v>0</v>
      </c>
      <c r="I15" s="9">
        <f t="shared" si="3"/>
        <v>0</v>
      </c>
      <c r="J15" s="9">
        <f t="shared" si="3"/>
        <v>0</v>
      </c>
      <c r="K15" s="9">
        <f t="shared" si="3"/>
        <v>0</v>
      </c>
      <c r="L15" s="9">
        <f t="shared" si="3"/>
        <v>0</v>
      </c>
      <c r="M15" s="9">
        <f t="shared" si="3"/>
        <v>0</v>
      </c>
      <c r="N15" s="10">
        <f t="shared" si="3"/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5" t="s">
        <v>10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 t="s">
        <v>11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12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13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14</v>
      </c>
      <c r="C20" s="9">
        <f t="shared" ref="C20:N20" si="4">SUM(C21:C23)</f>
        <v>0</v>
      </c>
      <c r="D20" s="9">
        <f t="shared" si="4"/>
        <v>0</v>
      </c>
      <c r="E20" s="9">
        <f t="shared" si="4"/>
        <v>0</v>
      </c>
      <c r="F20" s="9">
        <f t="shared" si="4"/>
        <v>0</v>
      </c>
      <c r="G20" s="9">
        <f t="shared" si="4"/>
        <v>0</v>
      </c>
      <c r="H20" s="9">
        <f t="shared" si="4"/>
        <v>0</v>
      </c>
      <c r="I20" s="9">
        <f t="shared" si="4"/>
        <v>0</v>
      </c>
      <c r="J20" s="9">
        <f t="shared" si="4"/>
        <v>0</v>
      </c>
      <c r="K20" s="9">
        <f t="shared" si="4"/>
        <v>0</v>
      </c>
      <c r="L20" s="9">
        <f t="shared" si="4"/>
        <v>0</v>
      </c>
      <c r="M20" s="9">
        <f t="shared" si="4"/>
        <v>0</v>
      </c>
      <c r="N20" s="10">
        <f t="shared" si="4"/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5" t="s">
        <v>15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" t="s">
        <v>16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8" t="s">
        <v>17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" t="s">
        <v>18</v>
      </c>
      <c r="C24" s="9">
        <f t="shared" ref="C24:N24" si="5">SUM(C25:C29)</f>
        <v>0</v>
      </c>
      <c r="D24" s="9">
        <f t="shared" si="5"/>
        <v>0</v>
      </c>
      <c r="E24" s="9">
        <f t="shared" si="5"/>
        <v>0</v>
      </c>
      <c r="F24" s="9">
        <f t="shared" si="5"/>
        <v>0</v>
      </c>
      <c r="G24" s="9">
        <f t="shared" si="5"/>
        <v>0</v>
      </c>
      <c r="H24" s="9">
        <f t="shared" si="5"/>
        <v>0</v>
      </c>
      <c r="I24" s="9">
        <f t="shared" si="5"/>
        <v>0</v>
      </c>
      <c r="J24" s="9">
        <f t="shared" si="5"/>
        <v>0</v>
      </c>
      <c r="K24" s="9">
        <f t="shared" si="5"/>
        <v>0</v>
      </c>
      <c r="L24" s="9">
        <f t="shared" si="5"/>
        <v>0</v>
      </c>
      <c r="M24" s="9">
        <f t="shared" si="5"/>
        <v>0</v>
      </c>
      <c r="N24" s="9">
        <f t="shared" si="5"/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5" t="s">
        <v>19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 t="s">
        <v>20</v>
      </c>
      <c r="C26" s="20"/>
      <c r="D26" s="20"/>
      <c r="E26" s="20"/>
      <c r="F26" s="20"/>
      <c r="G26" s="20"/>
      <c r="H26" s="7"/>
      <c r="I26" s="7"/>
      <c r="J26" s="7"/>
      <c r="K26" s="7"/>
      <c r="L26" s="7"/>
      <c r="M26" s="7"/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" t="s">
        <v>21</v>
      </c>
      <c r="C27" s="20"/>
      <c r="D27" s="20"/>
      <c r="E27" s="20"/>
      <c r="F27" s="20"/>
      <c r="G27" s="20"/>
      <c r="H27" s="7"/>
      <c r="I27" s="7"/>
      <c r="J27" s="7"/>
      <c r="K27" s="7"/>
      <c r="L27" s="7"/>
      <c r="M27" s="7"/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" t="s">
        <v>22</v>
      </c>
      <c r="C28" s="20"/>
      <c r="D28" s="20"/>
      <c r="E28" s="20"/>
      <c r="F28" s="20"/>
      <c r="G28" s="20"/>
      <c r="H28" s="7"/>
      <c r="I28" s="7"/>
      <c r="J28" s="7"/>
      <c r="K28" s="7"/>
      <c r="L28" s="7"/>
      <c r="M28" s="7"/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8" t="s">
        <v>23</v>
      </c>
      <c r="C29" s="20"/>
      <c r="D29" s="20"/>
      <c r="E29" s="20"/>
      <c r="F29" s="20"/>
      <c r="G29" s="20"/>
      <c r="H29" s="21"/>
      <c r="I29" s="21"/>
      <c r="J29" s="21"/>
      <c r="K29" s="21"/>
      <c r="L29" s="21"/>
      <c r="M29" s="21"/>
      <c r="N29" s="2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" t="s">
        <v>24</v>
      </c>
      <c r="C30" s="9">
        <f t="shared" ref="C30:N30" si="6">SUM(C31:C33)</f>
        <v>0</v>
      </c>
      <c r="D30" s="9">
        <f t="shared" si="6"/>
        <v>0</v>
      </c>
      <c r="E30" s="9">
        <f t="shared" si="6"/>
        <v>0</v>
      </c>
      <c r="F30" s="9">
        <f t="shared" si="6"/>
        <v>0</v>
      </c>
      <c r="G30" s="9">
        <f t="shared" si="6"/>
        <v>0</v>
      </c>
      <c r="H30" s="9">
        <f t="shared" si="6"/>
        <v>0</v>
      </c>
      <c r="I30" s="9">
        <f t="shared" si="6"/>
        <v>0</v>
      </c>
      <c r="J30" s="9">
        <f t="shared" si="6"/>
        <v>0</v>
      </c>
      <c r="K30" s="9">
        <f t="shared" si="6"/>
        <v>0</v>
      </c>
      <c r="L30" s="9">
        <f t="shared" si="6"/>
        <v>0</v>
      </c>
      <c r="M30" s="9">
        <f t="shared" si="6"/>
        <v>0</v>
      </c>
      <c r="N30" s="10">
        <f t="shared" si="6"/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5" t="s">
        <v>25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" t="s">
        <v>26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" t="s">
        <v>28</v>
      </c>
      <c r="C34" s="9">
        <f t="shared" ref="C34:N34" si="7">SUM(C35:C40)</f>
        <v>0</v>
      </c>
      <c r="D34" s="9">
        <f t="shared" si="7"/>
        <v>0</v>
      </c>
      <c r="E34" s="9">
        <f t="shared" si="7"/>
        <v>0</v>
      </c>
      <c r="F34" s="9">
        <f t="shared" si="7"/>
        <v>0</v>
      </c>
      <c r="G34" s="9">
        <f t="shared" si="7"/>
        <v>0</v>
      </c>
      <c r="H34" s="9">
        <f t="shared" si="7"/>
        <v>0</v>
      </c>
      <c r="I34" s="9">
        <f t="shared" si="7"/>
        <v>0</v>
      </c>
      <c r="J34" s="9">
        <f t="shared" si="7"/>
        <v>0</v>
      </c>
      <c r="K34" s="9">
        <f t="shared" si="7"/>
        <v>0</v>
      </c>
      <c r="L34" s="9">
        <f t="shared" si="7"/>
        <v>0</v>
      </c>
      <c r="M34" s="9">
        <f t="shared" si="7"/>
        <v>0</v>
      </c>
      <c r="N34" s="10">
        <f t="shared" si="7"/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5" t="s">
        <v>29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" t="s">
        <v>30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" t="s">
        <v>31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" t="s">
        <v>32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" t="s">
        <v>33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8" t="s">
        <v>34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" t="s">
        <v>35</v>
      </c>
      <c r="C41" s="9">
        <f t="shared" ref="C41:N41" si="8">SUM(C42:C45)</f>
        <v>0</v>
      </c>
      <c r="D41" s="9">
        <f t="shared" si="8"/>
        <v>0</v>
      </c>
      <c r="E41" s="9">
        <f t="shared" si="8"/>
        <v>0</v>
      </c>
      <c r="F41" s="9">
        <f t="shared" si="8"/>
        <v>0</v>
      </c>
      <c r="G41" s="9">
        <f t="shared" si="8"/>
        <v>0</v>
      </c>
      <c r="H41" s="9">
        <f t="shared" si="8"/>
        <v>0</v>
      </c>
      <c r="I41" s="9">
        <f t="shared" si="8"/>
        <v>0</v>
      </c>
      <c r="J41" s="9">
        <f t="shared" si="8"/>
        <v>0</v>
      </c>
      <c r="K41" s="9">
        <f t="shared" si="8"/>
        <v>0</v>
      </c>
      <c r="L41" s="9">
        <f t="shared" si="8"/>
        <v>0</v>
      </c>
      <c r="M41" s="9">
        <f t="shared" si="8"/>
        <v>0</v>
      </c>
      <c r="N41" s="9">
        <f t="shared" si="8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36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2" t="s">
        <v>37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8" t="s">
        <v>38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8" t="s">
        <v>39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" t="s">
        <v>40</v>
      </c>
      <c r="C46" s="9">
        <f t="shared" ref="C46:N46" si="9">SUM(C47:C49)</f>
        <v>0</v>
      </c>
      <c r="D46" s="9">
        <f t="shared" si="9"/>
        <v>0</v>
      </c>
      <c r="E46" s="9">
        <f t="shared" si="9"/>
        <v>0</v>
      </c>
      <c r="F46" s="9">
        <f t="shared" si="9"/>
        <v>0</v>
      </c>
      <c r="G46" s="9">
        <f t="shared" si="9"/>
        <v>0</v>
      </c>
      <c r="H46" s="9">
        <f t="shared" si="9"/>
        <v>0</v>
      </c>
      <c r="I46" s="9">
        <f t="shared" si="9"/>
        <v>0</v>
      </c>
      <c r="J46" s="9">
        <f t="shared" si="9"/>
        <v>0</v>
      </c>
      <c r="K46" s="9">
        <f t="shared" si="9"/>
        <v>0</v>
      </c>
      <c r="L46" s="9">
        <f t="shared" si="9"/>
        <v>0</v>
      </c>
      <c r="M46" s="9">
        <f t="shared" si="9"/>
        <v>0</v>
      </c>
      <c r="N46" s="10">
        <f t="shared" si="9"/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 t="s">
        <v>41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" t="s">
        <v>42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8" t="s">
        <v>43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" t="s">
        <v>44</v>
      </c>
      <c r="C50" s="9">
        <f t="shared" ref="C50:N50" si="10">SUM(C15+C20+C30+C34+C41+C46+C24)</f>
        <v>0</v>
      </c>
      <c r="D50" s="9">
        <f t="shared" si="10"/>
        <v>0</v>
      </c>
      <c r="E50" s="9">
        <f t="shared" si="10"/>
        <v>0</v>
      </c>
      <c r="F50" s="9">
        <f t="shared" si="10"/>
        <v>0</v>
      </c>
      <c r="G50" s="9">
        <f t="shared" si="10"/>
        <v>0</v>
      </c>
      <c r="H50" s="9">
        <f t="shared" si="10"/>
        <v>0</v>
      </c>
      <c r="I50" s="9">
        <f t="shared" si="10"/>
        <v>0</v>
      </c>
      <c r="J50" s="9">
        <f t="shared" si="10"/>
        <v>0</v>
      </c>
      <c r="K50" s="9">
        <f t="shared" si="10"/>
        <v>0</v>
      </c>
      <c r="L50" s="9">
        <f t="shared" si="10"/>
        <v>0</v>
      </c>
      <c r="M50" s="9">
        <f t="shared" si="10"/>
        <v>0</v>
      </c>
      <c r="N50" s="9">
        <f t="shared" si="10"/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4" t="s">
        <v>45</v>
      </c>
      <c r="C52" s="25">
        <f t="shared" ref="C52:N52" si="11">C10-C50</f>
        <v>0</v>
      </c>
      <c r="D52" s="25">
        <f t="shared" si="11"/>
        <v>0</v>
      </c>
      <c r="E52" s="25">
        <f t="shared" si="11"/>
        <v>0</v>
      </c>
      <c r="F52" s="25">
        <f t="shared" si="11"/>
        <v>0</v>
      </c>
      <c r="G52" s="25">
        <f t="shared" si="11"/>
        <v>0</v>
      </c>
      <c r="H52" s="25">
        <f t="shared" si="11"/>
        <v>0</v>
      </c>
      <c r="I52" s="25">
        <f t="shared" si="11"/>
        <v>0</v>
      </c>
      <c r="J52" s="25">
        <f t="shared" si="11"/>
        <v>0</v>
      </c>
      <c r="K52" s="25">
        <f t="shared" si="11"/>
        <v>0</v>
      </c>
      <c r="L52" s="25">
        <f t="shared" si="11"/>
        <v>0</v>
      </c>
      <c r="M52" s="25">
        <f t="shared" si="11"/>
        <v>0</v>
      </c>
      <c r="N52" s="25">
        <f t="shared" si="11"/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4" t="s">
        <v>46</v>
      </c>
      <c r="C53" s="25">
        <f t="shared" ref="C53:N53" si="12">(C5+C6+C10)-C50</f>
        <v>3000</v>
      </c>
      <c r="D53" s="25">
        <f t="shared" si="12"/>
        <v>3000</v>
      </c>
      <c r="E53" s="25">
        <f t="shared" si="12"/>
        <v>3000</v>
      </c>
      <c r="F53" s="25">
        <f t="shared" si="12"/>
        <v>3000</v>
      </c>
      <c r="G53" s="25">
        <f t="shared" si="12"/>
        <v>3000</v>
      </c>
      <c r="H53" s="25">
        <f t="shared" si="12"/>
        <v>3000</v>
      </c>
      <c r="I53" s="25">
        <f t="shared" si="12"/>
        <v>3000</v>
      </c>
      <c r="J53" s="25">
        <f t="shared" si="12"/>
        <v>3000</v>
      </c>
      <c r="K53" s="25">
        <f t="shared" si="12"/>
        <v>3000</v>
      </c>
      <c r="L53" s="25">
        <f t="shared" si="12"/>
        <v>3000</v>
      </c>
      <c r="M53" s="25">
        <f t="shared" si="12"/>
        <v>3000</v>
      </c>
      <c r="N53" s="25">
        <f t="shared" si="12"/>
        <v>3000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6.29"/>
    <col customWidth="1" min="3" max="26" width="9.14"/>
  </cols>
  <sheetData>
    <row r="1" ht="66.0" customHeight="1">
      <c r="A1" s="1"/>
      <c r="B1" s="26" t="s">
        <v>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7">
        <v>2018.0</v>
      </c>
      <c r="D3" s="27">
        <v>2019.0</v>
      </c>
      <c r="E3" s="27">
        <v>2020.0</v>
      </c>
      <c r="F3" s="27">
        <v>2021.0</v>
      </c>
      <c r="G3" s="27">
        <v>2022.0</v>
      </c>
      <c r="H3" s="27">
        <v>2023.0</v>
      </c>
      <c r="I3" s="27">
        <v>2024.0</v>
      </c>
      <c r="J3" s="27">
        <v>2025.0</v>
      </c>
      <c r="K3" s="27">
        <v>2026.0</v>
      </c>
      <c r="L3" s="27">
        <v>2027.0</v>
      </c>
      <c r="M3" s="27">
        <v>2028.0</v>
      </c>
      <c r="N3" s="27">
        <v>2029.0</v>
      </c>
      <c r="O3" s="27">
        <v>2030.0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8" t="s">
        <v>48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9" t="s">
        <v>49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0" t="s">
        <v>50</v>
      </c>
      <c r="C6" s="9">
        <f t="shared" ref="C6:O6" si="1">C4-C5</f>
        <v>0</v>
      </c>
      <c r="D6" s="9">
        <f t="shared" si="1"/>
        <v>0</v>
      </c>
      <c r="E6" s="9">
        <f t="shared" si="1"/>
        <v>0</v>
      </c>
      <c r="F6" s="9">
        <f t="shared" si="1"/>
        <v>0</v>
      </c>
      <c r="G6" s="9">
        <f t="shared" si="1"/>
        <v>0</v>
      </c>
      <c r="H6" s="9">
        <f t="shared" si="1"/>
        <v>0</v>
      </c>
      <c r="I6" s="9">
        <f t="shared" si="1"/>
        <v>0</v>
      </c>
      <c r="J6" s="9">
        <f t="shared" si="1"/>
        <v>0</v>
      </c>
      <c r="K6" s="10">
        <f t="shared" si="1"/>
        <v>0</v>
      </c>
      <c r="L6" s="10">
        <f t="shared" si="1"/>
        <v>0</v>
      </c>
      <c r="M6" s="10">
        <f t="shared" si="1"/>
        <v>0</v>
      </c>
      <c r="N6" s="10">
        <f t="shared" si="1"/>
        <v>0</v>
      </c>
      <c r="O6" s="10">
        <f t="shared" si="1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1" t="s">
        <v>51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8" t="s">
        <v>52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0" t="s">
        <v>53</v>
      </c>
      <c r="C9" s="9">
        <f t="shared" ref="C9:O9" si="2">C6-C7-C8</f>
        <v>0</v>
      </c>
      <c r="D9" s="9">
        <f t="shared" si="2"/>
        <v>0</v>
      </c>
      <c r="E9" s="9">
        <f t="shared" si="2"/>
        <v>0</v>
      </c>
      <c r="F9" s="9">
        <f t="shared" si="2"/>
        <v>0</v>
      </c>
      <c r="G9" s="9">
        <f t="shared" si="2"/>
        <v>0</v>
      </c>
      <c r="H9" s="9">
        <f t="shared" si="2"/>
        <v>0</v>
      </c>
      <c r="I9" s="9">
        <f t="shared" si="2"/>
        <v>0</v>
      </c>
      <c r="J9" s="9">
        <f t="shared" si="2"/>
        <v>0</v>
      </c>
      <c r="K9" s="9">
        <f t="shared" si="2"/>
        <v>0</v>
      </c>
      <c r="L9" s="9">
        <f t="shared" si="2"/>
        <v>0</v>
      </c>
      <c r="M9" s="9">
        <f t="shared" si="2"/>
        <v>0</v>
      </c>
      <c r="N9" s="9">
        <f t="shared" si="2"/>
        <v>0</v>
      </c>
      <c r="O9" s="9">
        <f t="shared" si="2"/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1" t="s">
        <v>54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9" t="s">
        <v>55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0" t="s">
        <v>56</v>
      </c>
      <c r="C12" s="9">
        <f t="shared" ref="C12:O12" si="3">C9-C10-C11</f>
        <v>0</v>
      </c>
      <c r="D12" s="9">
        <f t="shared" si="3"/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  <c r="H12" s="9">
        <f t="shared" si="3"/>
        <v>0</v>
      </c>
      <c r="I12" s="9">
        <f t="shared" si="3"/>
        <v>0</v>
      </c>
      <c r="J12" s="9">
        <f t="shared" si="3"/>
        <v>0</v>
      </c>
      <c r="K12" s="10">
        <f t="shared" si="3"/>
        <v>0</v>
      </c>
      <c r="L12" s="10">
        <f t="shared" si="3"/>
        <v>0</v>
      </c>
      <c r="M12" s="10">
        <f t="shared" si="3"/>
        <v>0</v>
      </c>
      <c r="N12" s="10">
        <f t="shared" si="3"/>
        <v>0</v>
      </c>
      <c r="O12" s="10">
        <f t="shared" si="3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1" t="s">
        <v>57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0" t="s">
        <v>59</v>
      </c>
      <c r="C15" s="9">
        <f t="shared" ref="C15:O15" si="4">C12+C13-C14</f>
        <v>0</v>
      </c>
      <c r="D15" s="9">
        <f t="shared" si="4"/>
        <v>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10">
        <f t="shared" si="4"/>
        <v>0</v>
      </c>
      <c r="L15" s="10">
        <f t="shared" si="4"/>
        <v>0</v>
      </c>
      <c r="M15" s="10">
        <f t="shared" si="4"/>
        <v>0</v>
      </c>
      <c r="N15" s="10">
        <f t="shared" si="4"/>
        <v>0</v>
      </c>
      <c r="O15" s="10">
        <f t="shared" si="4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1" t="s">
        <v>60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 t="s">
        <v>61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0" t="s">
        <v>62</v>
      </c>
      <c r="C18" s="9">
        <f t="shared" ref="C18:O18" si="5">C15+C16-C17</f>
        <v>0</v>
      </c>
      <c r="D18" s="9">
        <f t="shared" si="5"/>
        <v>0</v>
      </c>
      <c r="E18" s="9">
        <f t="shared" si="5"/>
        <v>0</v>
      </c>
      <c r="F18" s="9">
        <f t="shared" si="5"/>
        <v>0</v>
      </c>
      <c r="G18" s="9">
        <f t="shared" si="5"/>
        <v>0</v>
      </c>
      <c r="H18" s="9">
        <f t="shared" si="5"/>
        <v>0</v>
      </c>
      <c r="I18" s="9">
        <f t="shared" si="5"/>
        <v>0</v>
      </c>
      <c r="J18" s="9">
        <f t="shared" si="5"/>
        <v>0</v>
      </c>
      <c r="K18" s="10">
        <f t="shared" si="5"/>
        <v>0</v>
      </c>
      <c r="L18" s="10">
        <f t="shared" si="5"/>
        <v>0</v>
      </c>
      <c r="M18" s="10">
        <f t="shared" si="5"/>
        <v>0</v>
      </c>
      <c r="N18" s="10">
        <f t="shared" si="5"/>
        <v>0</v>
      </c>
      <c r="O18" s="10">
        <f t="shared" si="5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2" t="s">
        <v>63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0" t="s">
        <v>64</v>
      </c>
      <c r="C20" s="9">
        <f t="shared" ref="C20:O20" si="6">C18-C19</f>
        <v>0</v>
      </c>
      <c r="D20" s="9">
        <f t="shared" si="6"/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0</v>
      </c>
      <c r="N20" s="10">
        <f t="shared" si="6"/>
        <v>0</v>
      </c>
      <c r="O20" s="10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">
        <v>65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34">
        <v>2018.0</v>
      </c>
      <c r="D24" s="34">
        <v>2019.0</v>
      </c>
      <c r="E24" s="34">
        <v>2020.0</v>
      </c>
      <c r="F24" s="34">
        <v>2021.0</v>
      </c>
      <c r="G24" s="34">
        <v>2022.0</v>
      </c>
      <c r="H24" s="34">
        <v>2023.0</v>
      </c>
      <c r="I24" s="34">
        <v>2024.0</v>
      </c>
      <c r="J24" s="34">
        <v>2025.0</v>
      </c>
      <c r="K24" s="34">
        <v>2026.0</v>
      </c>
      <c r="L24" s="34">
        <v>2027.0</v>
      </c>
      <c r="M24" s="34">
        <v>2028.0</v>
      </c>
      <c r="N24" s="34">
        <v>2029.0</v>
      </c>
      <c r="O24" s="34">
        <v>2030.0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 t="s">
        <v>66</v>
      </c>
      <c r="C25" s="35"/>
      <c r="D25" s="36" t="str">
        <f t="shared" ref="D25:O25" si="7">(D4-C4)/C4</f>
        <v>#DIV/0!</v>
      </c>
      <c r="E25" s="36" t="str">
        <f t="shared" si="7"/>
        <v>#DIV/0!</v>
      </c>
      <c r="F25" s="36" t="str">
        <f t="shared" si="7"/>
        <v>#DIV/0!</v>
      </c>
      <c r="G25" s="36" t="str">
        <f t="shared" si="7"/>
        <v>#DIV/0!</v>
      </c>
      <c r="H25" s="36" t="str">
        <f t="shared" si="7"/>
        <v>#DIV/0!</v>
      </c>
      <c r="I25" s="36" t="str">
        <f t="shared" si="7"/>
        <v>#DIV/0!</v>
      </c>
      <c r="J25" s="36" t="str">
        <f t="shared" si="7"/>
        <v>#DIV/0!</v>
      </c>
      <c r="K25" s="36" t="str">
        <f t="shared" si="7"/>
        <v>#DIV/0!</v>
      </c>
      <c r="L25" s="36" t="str">
        <f t="shared" si="7"/>
        <v>#DIV/0!</v>
      </c>
      <c r="M25" s="36" t="str">
        <f t="shared" si="7"/>
        <v>#DIV/0!</v>
      </c>
      <c r="N25" s="36" t="str">
        <f t="shared" si="7"/>
        <v>#DIV/0!</v>
      </c>
      <c r="O25" s="36" t="str">
        <f t="shared" si="7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 t="s">
        <v>67</v>
      </c>
      <c r="C26" s="36" t="str">
        <f t="shared" ref="C26:O26" si="8">C6/C4</f>
        <v>#DIV/0!</v>
      </c>
      <c r="D26" s="36" t="str">
        <f t="shared" si="8"/>
        <v>#DIV/0!</v>
      </c>
      <c r="E26" s="36" t="str">
        <f t="shared" si="8"/>
        <v>#DIV/0!</v>
      </c>
      <c r="F26" s="36" t="str">
        <f t="shared" si="8"/>
        <v>#DIV/0!</v>
      </c>
      <c r="G26" s="36" t="str">
        <f t="shared" si="8"/>
        <v>#DIV/0!</v>
      </c>
      <c r="H26" s="36" t="str">
        <f t="shared" si="8"/>
        <v>#DIV/0!</v>
      </c>
      <c r="I26" s="36" t="str">
        <f t="shared" si="8"/>
        <v>#DIV/0!</v>
      </c>
      <c r="J26" s="36" t="str">
        <f t="shared" si="8"/>
        <v>#DIV/0!</v>
      </c>
      <c r="K26" s="36" t="str">
        <f t="shared" si="8"/>
        <v>#DIV/0!</v>
      </c>
      <c r="L26" s="36" t="str">
        <f t="shared" si="8"/>
        <v>#DIV/0!</v>
      </c>
      <c r="M26" s="36" t="str">
        <f t="shared" si="8"/>
        <v>#DIV/0!</v>
      </c>
      <c r="N26" s="36" t="str">
        <f t="shared" si="8"/>
        <v>#DIV/0!</v>
      </c>
      <c r="O26" s="36" t="str">
        <f t="shared" si="8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 t="s">
        <v>68</v>
      </c>
      <c r="C27" s="36" t="str">
        <f t="shared" ref="C27:O27" si="9">C20/C4</f>
        <v>#DIV/0!</v>
      </c>
      <c r="D27" s="36" t="str">
        <f t="shared" si="9"/>
        <v>#DIV/0!</v>
      </c>
      <c r="E27" s="36" t="str">
        <f t="shared" si="9"/>
        <v>#DIV/0!</v>
      </c>
      <c r="F27" s="36" t="str">
        <f t="shared" si="9"/>
        <v>#DIV/0!</v>
      </c>
      <c r="G27" s="36" t="str">
        <f t="shared" si="9"/>
        <v>#DIV/0!</v>
      </c>
      <c r="H27" s="36" t="str">
        <f t="shared" si="9"/>
        <v>#DIV/0!</v>
      </c>
      <c r="I27" s="36" t="str">
        <f t="shared" si="9"/>
        <v>#DIV/0!</v>
      </c>
      <c r="J27" s="36" t="str">
        <f t="shared" si="9"/>
        <v>#DIV/0!</v>
      </c>
      <c r="K27" s="36" t="str">
        <f t="shared" si="9"/>
        <v>#DIV/0!</v>
      </c>
      <c r="L27" s="36" t="str">
        <f t="shared" si="9"/>
        <v>#DIV/0!</v>
      </c>
      <c r="M27" s="36" t="str">
        <f t="shared" si="9"/>
        <v>#DIV/0!</v>
      </c>
      <c r="N27" s="36" t="str">
        <f t="shared" si="9"/>
        <v>#DIV/0!</v>
      </c>
      <c r="O27" s="36" t="str">
        <f t="shared" si="9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" t="s">
        <v>69</v>
      </c>
      <c r="C28" s="28" t="str">
        <f>C20/Balances!E6</f>
        <v>#REF!</v>
      </c>
      <c r="D28" s="28" t="str">
        <f>D20/Balances!J6</f>
        <v>#REF!</v>
      </c>
      <c r="E28" s="28" t="str">
        <f>E20/Balances!E51</f>
        <v>#REF!</v>
      </c>
      <c r="F28" s="28" t="str">
        <f>F20/Balances!J51</f>
        <v>#REF!</v>
      </c>
      <c r="G28" s="28" t="str">
        <f>G20/Balances!E96</f>
        <v>#REF!</v>
      </c>
      <c r="H28" s="28" t="str">
        <f>H20/Balances!J96</f>
        <v>#REF!</v>
      </c>
      <c r="I28" s="28" t="str">
        <f>I20/Balances!E141</f>
        <v>#REF!</v>
      </c>
      <c r="J28" s="28" t="str">
        <f>J20/Balances!J141</f>
        <v>#REF!</v>
      </c>
      <c r="K28" s="28" t="str">
        <f>K20/Balances!E186</f>
        <v>#REF!</v>
      </c>
      <c r="L28" s="28" t="str">
        <f>L20/Balances!J186</f>
        <v>#REF!</v>
      </c>
      <c r="M28" s="28" t="str">
        <f>M20/Balances!E231</f>
        <v>#REF!</v>
      </c>
      <c r="N28" s="28" t="str">
        <f>N20/Balances!J231</f>
        <v>#REF!</v>
      </c>
      <c r="O28" s="28" t="str">
        <f>O20/Balances!E276</f>
        <v>#REF!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" t="s">
        <v>70</v>
      </c>
      <c r="C29" s="28" t="str">
        <f>C12/Balances!C44</f>
        <v>#REF!</v>
      </c>
      <c r="D29" s="28" t="str">
        <f>D12/Balances!H44</f>
        <v>#REF!</v>
      </c>
      <c r="E29" s="28" t="str">
        <f>E12/Balances!C89</f>
        <v>#REF!</v>
      </c>
      <c r="F29" s="28" t="str">
        <f>F12/Balances!H89</f>
        <v>#REF!</v>
      </c>
      <c r="G29" s="28" t="str">
        <f>G12/Balances!C134</f>
        <v>#REF!</v>
      </c>
      <c r="H29" s="28" t="str">
        <f>H12/Balances!H134</f>
        <v>#REF!</v>
      </c>
      <c r="I29" s="28" t="str">
        <f>I12/Balances!C179</f>
        <v>#REF!</v>
      </c>
      <c r="J29" s="28" t="str">
        <f>J12/Balances!H179</f>
        <v>#REF!</v>
      </c>
      <c r="K29" s="28" t="str">
        <f>K12/Balances!C224</f>
        <v>#REF!</v>
      </c>
      <c r="L29" s="28" t="str">
        <f>L12/Balances!H224</f>
        <v>#REF!</v>
      </c>
      <c r="M29" s="28" t="str">
        <f>M12/Balances!C269</f>
        <v>#REF!</v>
      </c>
      <c r="N29" s="28" t="str">
        <f>N12/Balances!H269</f>
        <v>#REF!</v>
      </c>
      <c r="O29" s="28" t="str">
        <f>O12/Balances!C314</f>
        <v>#REF!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